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rric\Desktop\OZE PROJEKT BENC KACPER\"/>
    </mc:Choice>
  </mc:AlternateContent>
  <xr:revisionPtr revIDLastSave="0" documentId="8_{0DC5BA2E-AE01-4C0E-93D3-312CB5CB48F9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Arkusz ocen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1" l="1"/>
  <c r="F30" i="1" s="1"/>
  <c r="E28" i="1"/>
  <c r="E30" i="1" s="1"/>
  <c r="D14" i="1"/>
  <c r="B14" i="1"/>
  <c r="E29" i="1" l="1"/>
  <c r="F29" i="1"/>
</calcChain>
</file>

<file path=xl/sharedStrings.xml><?xml version="1.0" encoding="utf-8"?>
<sst xmlns="http://schemas.openxmlformats.org/spreadsheetml/2006/main" count="83" uniqueCount="72">
  <si>
    <t>Arkusz oceny projektu: Python - wybrane biblioteki</t>
  </si>
  <si>
    <t>Eurostat + analiza danych + uczenie maszynowe + aplikacja desktopowa + eksport wyników</t>
  </si>
  <si>
    <t>Student:</t>
  </si>
  <si>
    <t>Temat projektu:</t>
  </si>
  <si>
    <t>Data oceny:</t>
  </si>
  <si>
    <t>Repozytorium/link:</t>
  </si>
  <si>
    <t>Wersja oddania:</t>
  </si>
  <si>
    <t>Warunki konieczne przed punktowaniem</t>
  </si>
  <si>
    <t>Lp.</t>
  </si>
  <si>
    <t>Warunek</t>
  </si>
  <si>
    <t>TAK/NIE</t>
  </si>
  <si>
    <t>Uwagi</t>
  </si>
  <si>
    <t>Projekt uruchamia się lokalnie według instrukcji z README.</t>
  </si>
  <si>
    <t>TAK</t>
  </si>
  <si>
    <t>Aplikacja pobiera co najmniej 2 zbiory danych z biblioteki eurostat.</t>
  </si>
  <si>
    <t>Dane są czyszczone, połączone i użyte w modelu uczenia maszynowego.</t>
  </si>
  <si>
    <t>Projekt zawiera ocenę modelu oraz demonstrację predykcji.</t>
  </si>
  <si>
    <t>Projekt ma interfejs aplikacji oraz eksport wyników lub wykresów.</t>
  </si>
  <si>
    <t>Status warunków minimum:</t>
  </si>
  <si>
    <t>Kryteria oceny - 100 punktów</t>
  </si>
  <si>
    <t>Kryterium</t>
  </si>
  <si>
    <t>Jak student może sam sprawdzić?</t>
  </si>
  <si>
    <t>Max</t>
  </si>
  <si>
    <t>Samoocena</t>
  </si>
  <si>
    <t>Ocena prowadzącego</t>
  </si>
  <si>
    <t>Dane Eurostat i aktualność danych</t>
  </si>
  <si>
    <t>Min. 2 zbiory z eurostat. Aplikacja przy starcie sprawdza aktualizacje. Po zmianie danych przygotowuje dane i model ponownie.</t>
  </si>
  <si>
    <t>Przegląd danych</t>
  </si>
  <si>
    <t>Pokazano strukturę danych: kolumny, typy, liczność, braki danych, zakres lat/krajów oraz krótkie wnioski.</t>
  </si>
  <si>
    <t>Wizualizacje</t>
  </si>
  <si>
    <t>Są co najmniej 3 wykresy: mapa ciepła, wykres kolumnowy i wykres liniowy. Wykresy mają tytuły, podpisy osi i interpretację.</t>
  </si>
  <si>
    <t>Czyszczenie i połączenie danych</t>
  </si>
  <si>
    <t>Usunięto lub uzupełniono braki, odfiltrowano błędne/agregowane rekordy, poprawnie połączono dwa zbiory danych.</t>
  </si>
  <si>
    <t>Przygotowanie danych do modelu</t>
  </si>
  <si>
    <t>Prawidłowo wybrano y i X. Dane są podzielone na treningowe/testowe, a zmienne kategoryczne i liczbowe są poprawnie przetworzone.</t>
  </si>
  <si>
    <t>Trenowanie i ocena modeli</t>
  </si>
  <si>
    <t>Przetrenowano model lub kilka modeli. Wynik jakości na danych testowych jest powyżej 0,5 albo student potrafi uzasadnić, dlaczego wynik jest niższy.</t>
  </si>
  <si>
    <t>Predykcja i interpretacja</t>
  </si>
  <si>
    <t>Aplikacja pokazuje przykład predykcji dla danych użytkownika lub wybranego kraju/roku i wyjaśnia wynik.</t>
  </si>
  <si>
    <t>Interfejs aplikacji</t>
  </si>
  <si>
    <t>Jest aplikacja desktopowa, najlepiej CustomTkinter. Inna biblioteka GUI jest akceptowalna. Ipywidgets: maksymalnie 5 pkt w tym kryterium.</t>
  </si>
  <si>
    <t>Eksport i kompletność oddania</t>
  </si>
  <si>
    <t>Aplikacja eksportuje dane lub wyniki do Excela, Worda albo pliku graficznego. Projekt ma README, requirements i instrukcję uruchomienia.</t>
  </si>
  <si>
    <t>Suma punktów</t>
  </si>
  <si>
    <t>Procent</t>
  </si>
  <si>
    <t>Ocena końcowa</t>
  </si>
  <si>
    <t>Progi ocen</t>
  </si>
  <si>
    <t>Zakres punktów</t>
  </si>
  <si>
    <t>Ocena</t>
  </si>
  <si>
    <t>Opis</t>
  </si>
  <si>
    <t>mniej niż 60 pkt</t>
  </si>
  <si>
    <t>2,0</t>
  </si>
  <si>
    <t>Student nie osiąga 60% wymaganej wiedzy i umiejętności.</t>
  </si>
  <si>
    <t>60-67 pkt</t>
  </si>
  <si>
    <t>3,0</t>
  </si>
  <si>
    <t>Zakres dostateczny.</t>
  </si>
  <si>
    <t>68-75 pkt</t>
  </si>
  <si>
    <t>3,5</t>
  </si>
  <si>
    <t>Zakres dostateczny plus.</t>
  </si>
  <si>
    <t>76-82 pkt</t>
  </si>
  <si>
    <t>4,0</t>
  </si>
  <si>
    <t>Zakres dobry.</t>
  </si>
  <si>
    <t>83-89 pkt</t>
  </si>
  <si>
    <t>4,5</t>
  </si>
  <si>
    <t>Zakres dobry plus.</t>
  </si>
  <si>
    <t>90-100 pkt</t>
  </si>
  <si>
    <t>5,0</t>
  </si>
  <si>
    <t>Zakres bardzo dobry.</t>
  </si>
  <si>
    <t>Benc Kacper</t>
  </si>
  <si>
    <t> Udział OZE a ceny energii elektrycznej dla gospodarstw domowych | Benc Kacper</t>
  </si>
  <si>
    <t>1.0</t>
  </si>
  <si>
    <t>Grupa: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</si>
</sst>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5"/>
      <color rgb="FFFFFFFF"/>
      <name val="Carlito"/>
    </font>
    <font>
      <i/>
      <sz val="11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  <font>
      <sz val="13.5"/>
      <color rgb="FF003366"/>
      <name val="Lato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F3F6FA"/>
      </patternFill>
    </fill>
    <fill>
      <patternFill patternType="solid">
        <fgColor rgb="FF5B9BD5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7">
    <xf numFmtId="0" fontId="0" fillId="0" borderId="0" xfId="0"/>
    <xf numFmtId="0" fontId="0" fillId="0" borderId="0" xfId="1" applyFont="1" applyAlignment="1">
      <alignment horizontal="center" vertical="center" wrapText="1"/>
    </xf>
    <xf numFmtId="0" fontId="0" fillId="7" borderId="0" xfId="1" applyFont="1" applyFill="1" applyAlignment="1">
      <alignment horizontal="center" vertical="center" wrapText="1"/>
    </xf>
    <xf numFmtId="0" fontId="3" fillId="6" borderId="0" xfId="1" applyFont="1" applyFill="1" applyAlignment="1">
      <alignment horizontal="center" vertical="center" wrapText="1"/>
    </xf>
    <xf numFmtId="9" fontId="3" fillId="6" borderId="0" xfId="1" applyNumberFormat="1" applyFont="1" applyFill="1" applyAlignment="1">
      <alignment horizontal="center" vertical="center" wrapText="1"/>
    </xf>
    <xf numFmtId="0" fontId="3" fillId="4" borderId="0" xfId="1" applyFont="1" applyFill="1" applyAlignment="1">
      <alignment vertical="center" wrapText="1"/>
    </xf>
    <xf numFmtId="0" fontId="0" fillId="0" borderId="0" xfId="1" applyFont="1" applyAlignment="1">
      <alignment vertical="center" wrapText="1"/>
    </xf>
    <xf numFmtId="0" fontId="0" fillId="0" borderId="0" xfId="0" applyAlignment="1">
      <alignment vertical="center"/>
    </xf>
    <xf numFmtId="0" fontId="4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center" wrapText="1"/>
    </xf>
    <xf numFmtId="0" fontId="3" fillId="6" borderId="0" xfId="1" applyFont="1" applyFill="1" applyAlignment="1">
      <alignment vertical="center" wrapText="1"/>
    </xf>
    <xf numFmtId="0" fontId="3" fillId="6" borderId="0" xfId="1" applyFont="1" applyFill="1" applyAlignment="1">
      <alignment horizontal="center" vertical="center" wrapText="1"/>
    </xf>
    <xf numFmtId="0" fontId="4" fillId="5" borderId="0" xfId="1" applyFont="1" applyFill="1" applyAlignment="1">
      <alignment vertical="center" wrapText="1"/>
    </xf>
    <xf numFmtId="0" fontId="4" fillId="2" borderId="0" xfId="1" applyFont="1" applyFill="1" applyAlignment="1">
      <alignment horizontal="center" vertical="center" wrapText="1"/>
    </xf>
    <xf numFmtId="0" fontId="1" fillId="2" borderId="0" xfId="1" applyFont="1" applyFill="1" applyAlignment="1">
      <alignment horizontal="center" vertical="center" wrapText="1"/>
    </xf>
    <xf numFmtId="0" fontId="2" fillId="3" borderId="0" xfId="1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</cellXfs>
  <cellStyles count="2">
    <cellStyle name="Normal" xfId="1" xr:uid="{00000000-0005-0000-0000-000000000000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workbookViewId="0">
      <selection activeCell="C4" sqref="C4"/>
    </sheetView>
  </sheetViews>
  <sheetFormatPr defaultColWidth="8.875" defaultRowHeight="14.25"/>
  <cols>
    <col min="1" max="1" width="9" style="7" customWidth="1"/>
    <col min="2" max="2" width="26.5" style="7" customWidth="1"/>
    <col min="3" max="3" width="48" style="7" customWidth="1"/>
    <col min="4" max="4" width="8" style="7" customWidth="1"/>
    <col min="5" max="5" width="12" style="7" customWidth="1"/>
    <col min="6" max="6" width="16" style="7" customWidth="1"/>
    <col min="7" max="7" width="24" style="7" customWidth="1"/>
    <col min="8" max="16384" width="8.875" style="7"/>
  </cols>
  <sheetData>
    <row r="1" spans="1:7" ht="21" customHeight="1">
      <c r="A1" s="14" t="s">
        <v>0</v>
      </c>
      <c r="B1" s="14"/>
      <c r="C1" s="14"/>
      <c r="D1" s="14"/>
      <c r="E1" s="14"/>
      <c r="F1" s="14"/>
      <c r="G1" s="14"/>
    </row>
    <row r="2" spans="1:7" ht="21" customHeight="1">
      <c r="A2" s="15" t="s">
        <v>1</v>
      </c>
      <c r="B2" s="15"/>
      <c r="C2" s="15"/>
      <c r="D2" s="15"/>
      <c r="E2" s="15"/>
      <c r="F2" s="15"/>
      <c r="G2" s="15"/>
    </row>
    <row r="3" spans="1:7" ht="21" customHeight="1">
      <c r="A3" s="6"/>
      <c r="B3" s="6"/>
      <c r="C3" s="6"/>
      <c r="D3" s="6"/>
      <c r="E3" s="6"/>
      <c r="F3" s="6"/>
      <c r="G3" s="6"/>
    </row>
    <row r="4" spans="1:7" ht="138">
      <c r="A4" s="5" t="s">
        <v>2</v>
      </c>
      <c r="B4" s="6" t="s">
        <v>68</v>
      </c>
      <c r="C4" s="5" t="s">
        <v>71</v>
      </c>
      <c r="D4" s="6"/>
      <c r="E4" s="5" t="s">
        <v>3</v>
      </c>
      <c r="F4" s="16" t="s">
        <v>69</v>
      </c>
      <c r="G4" s="6"/>
    </row>
    <row r="5" spans="1:7" ht="30">
      <c r="A5" s="5" t="s">
        <v>4</v>
      </c>
      <c r="B5" s="6"/>
      <c r="C5" s="5" t="s">
        <v>5</v>
      </c>
      <c r="D5" s="6"/>
      <c r="E5" s="5" t="s">
        <v>6</v>
      </c>
      <c r="F5" s="6" t="s">
        <v>70</v>
      </c>
      <c r="G5" s="6"/>
    </row>
    <row r="6" spans="1:7" ht="21" customHeight="1">
      <c r="A6" s="6"/>
      <c r="B6" s="6"/>
      <c r="C6" s="6"/>
      <c r="D6" s="6"/>
      <c r="E6" s="6"/>
      <c r="F6" s="6"/>
      <c r="G6" s="6"/>
    </row>
    <row r="7" spans="1:7" ht="21" customHeight="1">
      <c r="A7" s="12" t="s">
        <v>7</v>
      </c>
      <c r="B7" s="12"/>
      <c r="C7" s="12"/>
      <c r="D7" s="12"/>
      <c r="E7" s="12"/>
      <c r="F7" s="12"/>
      <c r="G7" s="12"/>
    </row>
    <row r="8" spans="1:7" ht="21" customHeight="1">
      <c r="A8" s="8" t="s">
        <v>8</v>
      </c>
      <c r="B8" s="8" t="s">
        <v>9</v>
      </c>
      <c r="C8" s="8" t="s">
        <v>10</v>
      </c>
      <c r="D8" s="13" t="s">
        <v>11</v>
      </c>
      <c r="E8" s="13"/>
      <c r="F8" s="13"/>
      <c r="G8" s="13"/>
    </row>
    <row r="9" spans="1:7" ht="28.5">
      <c r="A9" s="1">
        <v>1</v>
      </c>
      <c r="B9" s="6" t="s">
        <v>12</v>
      </c>
      <c r="C9" s="1" t="s">
        <v>13</v>
      </c>
      <c r="D9" s="9" t="s">
        <v>13</v>
      </c>
      <c r="E9" s="9"/>
      <c r="F9" s="9"/>
      <c r="G9" s="9"/>
    </row>
    <row r="10" spans="1:7" ht="42.75">
      <c r="A10" s="1">
        <v>2</v>
      </c>
      <c r="B10" s="6" t="s">
        <v>14</v>
      </c>
      <c r="C10" s="1" t="s">
        <v>13</v>
      </c>
      <c r="D10" s="9" t="s">
        <v>13</v>
      </c>
      <c r="E10" s="9"/>
      <c r="F10" s="9"/>
      <c r="G10" s="9"/>
    </row>
    <row r="11" spans="1:7" ht="42.75">
      <c r="A11" s="1">
        <v>3</v>
      </c>
      <c r="B11" s="6" t="s">
        <v>15</v>
      </c>
      <c r="C11" s="1" t="s">
        <v>13</v>
      </c>
      <c r="D11" s="9" t="s">
        <v>13</v>
      </c>
      <c r="E11" s="9"/>
      <c r="F11" s="9"/>
      <c r="G11" s="9"/>
    </row>
    <row r="12" spans="1:7" ht="28.5">
      <c r="A12" s="1">
        <v>4</v>
      </c>
      <c r="B12" s="6" t="s">
        <v>16</v>
      </c>
      <c r="C12" s="1" t="s">
        <v>13</v>
      </c>
      <c r="D12" s="9" t="s">
        <v>13</v>
      </c>
      <c r="E12" s="9"/>
      <c r="F12" s="9"/>
      <c r="G12" s="9"/>
    </row>
    <row r="13" spans="1:7" ht="42.75">
      <c r="A13" s="1">
        <v>5</v>
      </c>
      <c r="B13" s="6" t="s">
        <v>17</v>
      </c>
      <c r="C13" s="1" t="s">
        <v>13</v>
      </c>
      <c r="D13" s="9" t="s">
        <v>13</v>
      </c>
      <c r="E13" s="9"/>
      <c r="F13" s="9"/>
      <c r="G13" s="9"/>
    </row>
    <row r="14" spans="1:7" ht="21" customHeight="1">
      <c r="A14" s="10" t="s">
        <v>18</v>
      </c>
      <c r="B14" s="10" t="str">
        <f>IF(COUNTIF(C9:C13,"NIE")&gt;0,"NIE - projekt wymaga poprawy przed oceną punktową","TAK - można oceniać punktowo")</f>
        <v>TAK - można oceniać punktowo</v>
      </c>
      <c r="C14" s="10"/>
      <c r="D14" s="10" t="str">
        <f>IF(COUNTIF(C9:C13,"NIE")&gt;0,"NIE - projekt wymaga poprawy przed oceną punktową","TAK - można oceniać punktowo")</f>
        <v>TAK - można oceniać punktowo</v>
      </c>
      <c r="E14" s="10"/>
      <c r="F14" s="10"/>
      <c r="G14" s="10"/>
    </row>
    <row r="15" spans="1:7" ht="21" customHeight="1">
      <c r="A15" s="6"/>
      <c r="B15" s="6"/>
      <c r="C15" s="6"/>
      <c r="D15" s="6"/>
      <c r="E15" s="6"/>
      <c r="F15" s="6"/>
      <c r="G15" s="6"/>
    </row>
    <row r="16" spans="1:7" ht="21" customHeight="1">
      <c r="A16" s="12" t="s">
        <v>19</v>
      </c>
      <c r="B16" s="12"/>
      <c r="C16" s="12"/>
      <c r="D16" s="12"/>
      <c r="E16" s="12"/>
      <c r="F16" s="12"/>
      <c r="G16" s="12"/>
    </row>
    <row r="17" spans="1:7" ht="21" customHeight="1">
      <c r="A17" s="8" t="s">
        <v>8</v>
      </c>
      <c r="B17" s="8" t="s">
        <v>20</v>
      </c>
      <c r="C17" s="8" t="s">
        <v>21</v>
      </c>
      <c r="D17" s="8" t="s">
        <v>22</v>
      </c>
      <c r="E17" s="8" t="s">
        <v>23</v>
      </c>
      <c r="F17" s="8" t="s">
        <v>24</v>
      </c>
      <c r="G17" s="8" t="s">
        <v>11</v>
      </c>
    </row>
    <row r="18" spans="1:7" ht="48.95" customHeight="1">
      <c r="A18" s="1">
        <v>1</v>
      </c>
      <c r="B18" s="6" t="s">
        <v>25</v>
      </c>
      <c r="C18" s="6" t="s">
        <v>26</v>
      </c>
      <c r="D18" s="1">
        <v>15</v>
      </c>
      <c r="E18" s="2">
        <v>15</v>
      </c>
      <c r="F18" s="2"/>
      <c r="G18" s="6"/>
    </row>
    <row r="19" spans="1:7" ht="48.95" customHeight="1">
      <c r="A19" s="1">
        <v>2</v>
      </c>
      <c r="B19" s="6" t="s">
        <v>27</v>
      </c>
      <c r="C19" s="6" t="s">
        <v>28</v>
      </c>
      <c r="D19" s="1">
        <v>8</v>
      </c>
      <c r="E19" s="2">
        <v>7</v>
      </c>
      <c r="F19" s="2"/>
      <c r="G19" s="6"/>
    </row>
    <row r="20" spans="1:7" ht="48.95" customHeight="1">
      <c r="A20" s="1">
        <v>3</v>
      </c>
      <c r="B20" s="6" t="s">
        <v>29</v>
      </c>
      <c r="C20" s="6" t="s">
        <v>30</v>
      </c>
      <c r="D20" s="1">
        <v>12</v>
      </c>
      <c r="E20" s="2">
        <v>10</v>
      </c>
      <c r="F20" s="2"/>
      <c r="G20" s="6"/>
    </row>
    <row r="21" spans="1:7" ht="48.95" customHeight="1">
      <c r="A21" s="1">
        <v>4</v>
      </c>
      <c r="B21" s="6" t="s">
        <v>31</v>
      </c>
      <c r="C21" s="6" t="s">
        <v>32</v>
      </c>
      <c r="D21" s="1">
        <v>12</v>
      </c>
      <c r="E21" s="2">
        <v>12</v>
      </c>
      <c r="F21" s="2"/>
      <c r="G21" s="6"/>
    </row>
    <row r="22" spans="1:7" ht="48.95" customHeight="1">
      <c r="A22" s="1">
        <v>5</v>
      </c>
      <c r="B22" s="6" t="s">
        <v>33</v>
      </c>
      <c r="C22" s="6" t="s">
        <v>34</v>
      </c>
      <c r="D22" s="1">
        <v>10</v>
      </c>
      <c r="E22" s="2">
        <v>9</v>
      </c>
      <c r="F22" s="2"/>
      <c r="G22" s="6"/>
    </row>
    <row r="23" spans="1:7" ht="48.95" customHeight="1">
      <c r="A23" s="1">
        <v>6</v>
      </c>
      <c r="B23" s="6" t="s">
        <v>35</v>
      </c>
      <c r="C23" s="6" t="s">
        <v>36</v>
      </c>
      <c r="D23" s="1">
        <v>15</v>
      </c>
      <c r="E23" s="2">
        <v>12</v>
      </c>
      <c r="F23" s="2"/>
      <c r="G23" s="6"/>
    </row>
    <row r="24" spans="1:7" ht="48.95" customHeight="1">
      <c r="A24" s="1">
        <v>7</v>
      </c>
      <c r="B24" s="6" t="s">
        <v>37</v>
      </c>
      <c r="C24" s="6" t="s">
        <v>38</v>
      </c>
      <c r="D24" s="1">
        <v>8</v>
      </c>
      <c r="E24" s="2">
        <v>8</v>
      </c>
      <c r="F24" s="2"/>
      <c r="G24" s="6"/>
    </row>
    <row r="25" spans="1:7" ht="48.95" customHeight="1">
      <c r="A25" s="1">
        <v>8</v>
      </c>
      <c r="B25" s="6" t="s">
        <v>39</v>
      </c>
      <c r="C25" s="6" t="s">
        <v>40</v>
      </c>
      <c r="D25" s="1">
        <v>12</v>
      </c>
      <c r="E25" s="2">
        <v>10</v>
      </c>
      <c r="F25" s="2"/>
      <c r="G25" s="6"/>
    </row>
    <row r="26" spans="1:7" ht="48.95" customHeight="1">
      <c r="A26" s="1">
        <v>9</v>
      </c>
      <c r="B26" s="6" t="s">
        <v>41</v>
      </c>
      <c r="C26" s="6" t="s">
        <v>42</v>
      </c>
      <c r="D26" s="1">
        <v>8</v>
      </c>
      <c r="E26" s="2">
        <v>8</v>
      </c>
      <c r="F26" s="2"/>
      <c r="G26" s="6"/>
    </row>
    <row r="27" spans="1:7" ht="21" customHeight="1">
      <c r="A27" s="6"/>
      <c r="B27" s="6"/>
      <c r="C27" s="6"/>
      <c r="D27" s="6"/>
      <c r="E27" s="6"/>
      <c r="F27" s="6"/>
      <c r="G27" s="6"/>
    </row>
    <row r="28" spans="1:7" ht="21" customHeight="1">
      <c r="A28" s="11" t="s">
        <v>43</v>
      </c>
      <c r="B28" s="11"/>
      <c r="C28" s="11"/>
      <c r="D28" s="11"/>
      <c r="E28" s="3">
        <f>SUM(E18:E26)</f>
        <v>91</v>
      </c>
      <c r="F28" s="3">
        <f>SUM(F18:F26)</f>
        <v>0</v>
      </c>
      <c r="G28" s="3"/>
    </row>
    <row r="29" spans="1:7" ht="21" customHeight="1">
      <c r="A29" s="11" t="s">
        <v>44</v>
      </c>
      <c r="B29" s="11"/>
      <c r="C29" s="11"/>
      <c r="D29" s="11"/>
      <c r="E29" s="4">
        <f>E28/100</f>
        <v>0.91</v>
      </c>
      <c r="F29" s="4">
        <f>F28/100</f>
        <v>0</v>
      </c>
      <c r="G29" s="3"/>
    </row>
    <row r="30" spans="1:7" ht="21" customHeight="1">
      <c r="A30" s="11" t="s">
        <v>45</v>
      </c>
      <c r="B30" s="11"/>
      <c r="C30" s="11"/>
      <c r="D30" s="11"/>
      <c r="E30" s="3" t="str">
        <f>IF(COUNTIF(C9:C13,"NIE")&gt;0,"warunki min. niespełnione",IF(E28&lt;60,"2,0",IF(E28&lt;68,"3,0",IF(E28&lt;76,"3,5",IF(E28&lt;83,"4,0",IF(E28&lt;90,"4,5","5,0"))))))</f>
        <v>5,0</v>
      </c>
      <c r="F30" s="3" t="str">
        <f>IF(COUNTIF(C9:C13,"NIE")&gt;0,"warunki min. niespełnione",IF(F28&lt;60,"2,0",IF(F28&lt;68,"3,0",IF(F28&lt;76,"3,5",IF(F28&lt;83,"4,0",IF(F28&lt;90,"4,5","5,0"))))))</f>
        <v>2,0</v>
      </c>
      <c r="G30" s="3"/>
    </row>
    <row r="31" spans="1:7" ht="21" customHeight="1">
      <c r="A31" s="6"/>
      <c r="B31" s="6"/>
      <c r="C31" s="6"/>
      <c r="D31" s="6"/>
      <c r="E31" s="6"/>
      <c r="F31" s="6"/>
      <c r="G31" s="6"/>
    </row>
    <row r="32" spans="1:7" ht="15">
      <c r="A32" s="12" t="s">
        <v>46</v>
      </c>
      <c r="B32" s="12"/>
      <c r="C32" s="12"/>
      <c r="D32" s="12"/>
      <c r="E32" s="12"/>
      <c r="F32" s="12"/>
      <c r="G32" s="12"/>
    </row>
    <row r="33" spans="1:7" ht="30">
      <c r="A33" s="8" t="s">
        <v>47</v>
      </c>
      <c r="B33" s="8" t="s">
        <v>48</v>
      </c>
      <c r="C33" s="13" t="s">
        <v>49</v>
      </c>
      <c r="D33" s="13"/>
      <c r="E33" s="13"/>
      <c r="F33" s="13"/>
      <c r="G33" s="13"/>
    </row>
    <row r="34" spans="1:7" ht="28.5">
      <c r="A34" s="1" t="s">
        <v>50</v>
      </c>
      <c r="B34" s="1" t="s">
        <v>51</v>
      </c>
      <c r="C34" s="9" t="s">
        <v>52</v>
      </c>
      <c r="D34" s="9"/>
      <c r="E34" s="9"/>
      <c r="F34" s="9"/>
      <c r="G34" s="9"/>
    </row>
    <row r="35" spans="1:7">
      <c r="A35" s="1" t="s">
        <v>53</v>
      </c>
      <c r="B35" s="1" t="s">
        <v>54</v>
      </c>
      <c r="C35" s="9" t="s">
        <v>55</v>
      </c>
      <c r="D35" s="9"/>
      <c r="E35" s="9"/>
      <c r="F35" s="9"/>
      <c r="G35" s="9"/>
    </row>
    <row r="36" spans="1:7">
      <c r="A36" s="1" t="s">
        <v>56</v>
      </c>
      <c r="B36" s="1" t="s">
        <v>57</v>
      </c>
      <c r="C36" s="9" t="s">
        <v>58</v>
      </c>
      <c r="D36" s="9"/>
      <c r="E36" s="9"/>
      <c r="F36" s="9"/>
      <c r="G36" s="9"/>
    </row>
    <row r="37" spans="1:7">
      <c r="A37" s="1" t="s">
        <v>59</v>
      </c>
      <c r="B37" s="1" t="s">
        <v>60</v>
      </c>
      <c r="C37" s="9" t="s">
        <v>61</v>
      </c>
      <c r="D37" s="9"/>
      <c r="E37" s="9"/>
      <c r="F37" s="9"/>
      <c r="G37" s="9"/>
    </row>
    <row r="38" spans="1:7">
      <c r="A38" s="1" t="s">
        <v>62</v>
      </c>
      <c r="B38" s="1" t="s">
        <v>63</v>
      </c>
      <c r="C38" s="9" t="s">
        <v>64</v>
      </c>
      <c r="D38" s="9"/>
      <c r="E38" s="9"/>
      <c r="F38" s="9"/>
      <c r="G38" s="9"/>
    </row>
    <row r="39" spans="1:7" ht="28.5">
      <c r="A39" s="1" t="s">
        <v>65</v>
      </c>
      <c r="B39" s="1" t="s">
        <v>66</v>
      </c>
      <c r="C39" s="9" t="s">
        <v>67</v>
      </c>
      <c r="D39" s="9"/>
      <c r="E39" s="9"/>
      <c r="F39" s="9"/>
      <c r="G39" s="9"/>
    </row>
    <row r="40" spans="1:7" ht="21" customHeight="1">
      <c r="A40" s="6"/>
      <c r="B40" s="6"/>
      <c r="C40" s="6"/>
      <c r="D40" s="6"/>
      <c r="E40" s="6"/>
      <c r="F40" s="6"/>
      <c r="G40" s="6"/>
    </row>
  </sheetData>
  <mergeCells count="23">
    <mergeCell ref="A1:G1"/>
    <mergeCell ref="A2:G2"/>
    <mergeCell ref="A7:G7"/>
    <mergeCell ref="D8:G8"/>
    <mergeCell ref="D9:G9"/>
    <mergeCell ref="D10:G10"/>
    <mergeCell ref="D11:G11"/>
    <mergeCell ref="D12:G12"/>
    <mergeCell ref="D13:G13"/>
    <mergeCell ref="A16:G16"/>
    <mergeCell ref="C39:G39"/>
    <mergeCell ref="A14:C14"/>
    <mergeCell ref="D14:G14"/>
    <mergeCell ref="C34:G34"/>
    <mergeCell ref="C35:G35"/>
    <mergeCell ref="C36:G36"/>
    <mergeCell ref="C37:G37"/>
    <mergeCell ref="C38:G38"/>
    <mergeCell ref="A28:D28"/>
    <mergeCell ref="A29:D29"/>
    <mergeCell ref="A30:D30"/>
    <mergeCell ref="A32:G32"/>
    <mergeCell ref="C33:G33"/>
  </mergeCells>
  <dataValidations count="1">
    <dataValidation type="list" sqref="C9:C13" xr:uid="{00000000-0002-0000-0000-000000000000}">
      <formula1>"TAK,NIE"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 oceny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Latitude 5310</dc:creator>
  <cp:lastModifiedBy>Kacper Benc</cp:lastModifiedBy>
  <dcterms:created xsi:type="dcterms:W3CDTF">2026-06-01T10:23:21Z</dcterms:created>
  <dcterms:modified xsi:type="dcterms:W3CDTF">2026-06-13T08:22:06Z</dcterms:modified>
</cp:coreProperties>
</file>